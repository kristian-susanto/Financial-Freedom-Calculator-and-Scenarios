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<sst xmlns="http://schemas.openxmlformats.org/spreadsheetml/2006/main" count="50" uniqueCount="31">
  <si>
    <t>Golden Days Overview</t>
  </si>
  <si>
    <t>Annual Golden Days</t>
  </si>
  <si>
    <t>5-Year Golden Days</t>
  </si>
  <si>
    <t>Another Simulation on the 5-Year Golden Days</t>
  </si>
  <si>
    <t>Monthly Living Expenses</t>
  </si>
  <si>
    <t>#</t>
  </si>
  <si>
    <t>Initial Fund</t>
  </si>
  <si>
    <t>Living Expenses</t>
  </si>
  <si>
    <t>Invesment Fund</t>
  </si>
  <si>
    <t>Final Fund</t>
  </si>
  <si>
    <t>Inflation</t>
  </si>
  <si>
    <t>Difference</t>
  </si>
  <si>
    <t>Distribution</t>
  </si>
  <si>
    <t>Monthly Expenses</t>
  </si>
  <si>
    <t>Aspect 1</t>
  </si>
  <si>
    <t>Aspect 2</t>
  </si>
  <si>
    <t>Fund Period (Year)</t>
  </si>
  <si>
    <t>Year of Birth</t>
  </si>
  <si>
    <t>6-10</t>
  </si>
  <si>
    <t>Starting the Golden Age</t>
  </si>
  <si>
    <t>11-15</t>
  </si>
  <si>
    <t>Financial Freedom</t>
  </si>
  <si>
    <t>16-20</t>
  </si>
  <si>
    <t>21-25</t>
  </si>
  <si>
    <t>Future Cost of Living</t>
  </si>
  <si>
    <t>current cost of living * (1 + inflation) ^ (golden days of age - (current year - year of birth))</t>
  </si>
  <si>
    <t>Final Fund Return Rate</t>
  </si>
  <si>
    <t>(final fund value in year x from the annual golden days / investment fund table) - 1</t>
  </si>
  <si>
    <t>Living Expenses Rate</t>
  </si>
  <si>
    <t>(monthly living expenses * 12) / financial freedom</t>
  </si>
  <si>
    <t>(1 + inflation) / (1 - living expenses rate) - 1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</si>
</sst>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3" xfId="0" applyAlignment="1" applyFont="1" applyNumberForma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0" xfId="0" applyAlignment="1" applyFont="1" applyNumberFormat="1">
      <alignment readingOrder="0" vertical="center"/>
    </xf>
    <xf borderId="0" fillId="0" fontId="1" numFmtId="10" xfId="0" applyAlignment="1" applyFont="1" applyNumberFormat="1">
      <alignment horizontal="center" readingOrder="0" vertical="center"/>
    </xf>
    <xf borderId="0" fillId="0" fontId="1" numFmtId="3" xfId="0" applyAlignment="1" applyFont="1" applyNumberFormat="1">
      <alignment vertical="center"/>
    </xf>
    <xf borderId="0" fillId="0" fontId="1" numFmtId="0" xfId="0" applyAlignment="1" applyFont="1">
      <alignment horizontal="right" readingOrder="0" vertical="center"/>
    </xf>
    <xf borderId="1" fillId="0" fontId="1" numFmtId="3" xfId="0" applyAlignment="1" applyBorder="1" applyFont="1" applyNumberFormat="1">
      <alignment vertical="center"/>
    </xf>
    <xf borderId="0" fillId="0" fontId="1" numFmtId="10" xfId="0" applyAlignment="1" applyFont="1" applyNumberForma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3" width="22.0"/>
    <col customWidth="1" min="4" max="5" width="7.63"/>
    <col customWidth="1" min="6" max="9" width="19.5"/>
    <col customWidth="1" min="10" max="10" width="9.5"/>
    <col customWidth="1" min="11" max="12" width="7.63"/>
    <col customWidth="1" min="13" max="16" width="19.5"/>
    <col customWidth="1" min="17" max="17" width="11.38"/>
    <col customWidth="1" min="18" max="19" width="7.63"/>
    <col customWidth="1" min="20" max="23" width="19.5"/>
    <col customWidth="1" min="24" max="24" width="11.38"/>
    <col customWidth="1" min="25" max="27" width="19.5"/>
    <col customWidth="1" min="28" max="28" width="7.6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4.25" customHeight="1">
      <c r="A2" s="1"/>
      <c r="B2" s="2" t="s">
        <v>0</v>
      </c>
      <c r="C2" s="1"/>
      <c r="D2" s="1"/>
      <c r="E2" s="2" t="s">
        <v>1</v>
      </c>
      <c r="F2" s="1"/>
      <c r="G2" s="1"/>
      <c r="H2" s="1"/>
      <c r="I2" s="1"/>
      <c r="J2" s="1"/>
      <c r="K2" s="1"/>
      <c r="L2" s="2" t="s">
        <v>2</v>
      </c>
      <c r="M2" s="1"/>
      <c r="N2" s="1"/>
      <c r="O2" s="1"/>
      <c r="P2" s="1"/>
      <c r="Q2" s="1"/>
      <c r="R2" s="1"/>
      <c r="S2" s="2" t="s">
        <v>3</v>
      </c>
      <c r="T2" s="1"/>
      <c r="U2" s="1"/>
      <c r="V2" s="1"/>
      <c r="W2" s="1"/>
      <c r="X2" s="1"/>
      <c r="Y2" s="1"/>
      <c r="Z2" s="1"/>
      <c r="AA2" s="1"/>
      <c r="AB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4.25" customHeight="1">
      <c r="A4" s="1"/>
      <c r="B4" s="3" t="s">
        <v>4</v>
      </c>
      <c r="C4" s="4">
        <v>4000000.0</v>
      </c>
      <c r="D4" s="1"/>
      <c r="E4" s="5" t="s">
        <v>5</v>
      </c>
      <c r="F4" s="6" t="s">
        <v>6</v>
      </c>
      <c r="G4" s="5" t="s">
        <v>7</v>
      </c>
      <c r="H4" s="6" t="s">
        <v>8</v>
      </c>
      <c r="I4" s="6" t="s">
        <v>9</v>
      </c>
      <c r="J4" s="6" t="s">
        <v>10</v>
      </c>
      <c r="K4" s="1"/>
      <c r="L4" s="5" t="s">
        <v>5</v>
      </c>
      <c r="M4" s="6" t="s">
        <v>6</v>
      </c>
      <c r="N4" s="5" t="s">
        <v>7</v>
      </c>
      <c r="O4" s="6" t="s">
        <v>8</v>
      </c>
      <c r="P4" s="6" t="s">
        <v>9</v>
      </c>
      <c r="Q4" s="5" t="s">
        <v>11</v>
      </c>
      <c r="R4" s="1"/>
      <c r="S4" s="5" t="s">
        <v>5</v>
      </c>
      <c r="T4" s="6" t="s">
        <v>6</v>
      </c>
      <c r="U4" s="5" t="s">
        <v>7</v>
      </c>
      <c r="V4" s="6" t="s">
        <v>8</v>
      </c>
      <c r="W4" s="6" t="s">
        <v>9</v>
      </c>
      <c r="X4" s="5" t="s">
        <v>11</v>
      </c>
      <c r="Y4" s="5" t="s">
        <v>12</v>
      </c>
      <c r="AB4" s="1"/>
    </row>
    <row r="5" ht="14.25" customHeight="1">
      <c r="A5" s="1"/>
      <c r="B5" s="3" t="s">
        <v>10</v>
      </c>
      <c r="C5" s="7">
        <v>0.08</v>
      </c>
      <c r="D5" s="1"/>
      <c r="G5" s="8">
        <f>($C$4*12)/$C$9</f>
        <v>0.0690294887</v>
      </c>
      <c r="I5" s="8">
        <f>(1+C5)/(1-G5)-1</f>
        <v>0.1600797092</v>
      </c>
      <c r="K5" s="1"/>
      <c r="N5" s="8">
        <f>($C$4*12)/$C$9</f>
        <v>0.0690294887</v>
      </c>
      <c r="P5" s="8">
        <f>($I$10/$O$6)-1</f>
        <v>1.469328077</v>
      </c>
      <c r="R5" s="1"/>
      <c r="U5" s="8">
        <f>($C$4*12)/$C$9</f>
        <v>0.0690294887</v>
      </c>
      <c r="W5" s="8">
        <f>P$5*2</f>
        <v>2.938656154</v>
      </c>
      <c r="Y5" s="5" t="s">
        <v>13</v>
      </c>
      <c r="Z5" s="5" t="s">
        <v>14</v>
      </c>
      <c r="AA5" s="5" t="s">
        <v>15</v>
      </c>
      <c r="AB5" s="1"/>
    </row>
    <row r="6" ht="14.25" customHeight="1">
      <c r="A6" s="1"/>
      <c r="B6" s="3" t="s">
        <v>16</v>
      </c>
      <c r="C6" s="4">
        <v>10.0</v>
      </c>
      <c r="D6" s="1"/>
      <c r="E6" s="3">
        <f t="array" ref="E6:E30">SEQUENCE(25, 1, 1, 1)</f>
        <v>1</v>
      </c>
      <c r="F6" s="9">
        <f>$C$9</f>
        <v>695354998.4</v>
      </c>
      <c r="G6" s="9">
        <f t="shared" ref="G6:G30" si="1">F6*G$5</f>
        <v>48000000</v>
      </c>
      <c r="H6" s="9">
        <f t="shared" ref="H6:H30" si="2">F6-G6</f>
        <v>647354998.4</v>
      </c>
      <c r="I6" s="9">
        <f t="shared" ref="I6:I30" si="3">H6*(1+$I$5)</f>
        <v>750983398.2</v>
      </c>
      <c r="J6" s="1"/>
      <c r="K6" s="1"/>
      <c r="L6" s="10" t="str">
        <f t="array" ref="L6:L10">SEQUENCE(5,1,1,5) &amp; "-" &amp; SEQUENCE(5,1,5,5)</f>
        <v>1-5</v>
      </c>
      <c r="M6" s="9">
        <f>$C$9</f>
        <v>695354998.4</v>
      </c>
      <c r="N6" s="9">
        <f t="shared" ref="N6:N10" si="4">(M6*N$5)*((1+$C$5)^5-1)/$C$5</f>
        <v>281596846.1</v>
      </c>
      <c r="O6" s="9">
        <f t="shared" ref="O6:O10" si="5">M6-N6</f>
        <v>413758152.3</v>
      </c>
      <c r="P6" s="11">
        <f t="shared" ref="P6:P10" si="6">O6*(1+P$5)</f>
        <v>1021704622</v>
      </c>
      <c r="Q6" s="12">
        <f>P$6/$I$10-1</f>
        <v>0</v>
      </c>
      <c r="R6" s="1"/>
      <c r="S6" s="10" t="str">
        <f t="array" ref="S6:S10">SEQUENCE(5,1,1,5) &amp; "-" &amp; SEQUENCE(5,1,5,5)</f>
        <v>1-5</v>
      </c>
      <c r="T6" s="9">
        <f>$C$9</f>
        <v>695354998.4</v>
      </c>
      <c r="U6" s="9">
        <f t="shared" ref="U6:U10" si="7">(T6*U$5)*((1+$C$5)^5-1)/$C$5</f>
        <v>281596846.1</v>
      </c>
      <c r="V6" s="9">
        <f t="shared" ref="V6:V10" si="8">T6-U6</f>
        <v>413758152.3</v>
      </c>
      <c r="W6" s="11">
        <f t="shared" ref="W6:W10" si="9">V6*(1+W$5)</f>
        <v>1629651093</v>
      </c>
      <c r="X6" s="12">
        <f>W$6/$I$10-1</f>
        <v>0.5950315353</v>
      </c>
      <c r="Y6" s="9">
        <f t="shared" ref="Y6:Y10" si="10">P6</f>
        <v>1021704622</v>
      </c>
      <c r="Z6" s="9">
        <f t="shared" ref="Z6:Z10" si="11">(W6-P6)*50%</f>
        <v>303973235.1</v>
      </c>
      <c r="AA6" s="9">
        <f t="shared" ref="AA6:AA10" si="12">(W6-P6)*50%</f>
        <v>303973235.1</v>
      </c>
      <c r="AB6" s="1"/>
    </row>
    <row r="7" ht="14.25" customHeight="1">
      <c r="A7" s="1"/>
      <c r="B7" s="3" t="s">
        <v>17</v>
      </c>
      <c r="C7" s="1"/>
      <c r="D7" s="1"/>
      <c r="E7" s="1">
        <v>2.0</v>
      </c>
      <c r="F7" s="9">
        <f t="shared" ref="F7:F30" si="13">I6</f>
        <v>750983398.2</v>
      </c>
      <c r="G7" s="9">
        <f t="shared" si="1"/>
        <v>51840000</v>
      </c>
      <c r="H7" s="9">
        <f t="shared" si="2"/>
        <v>699143398.2</v>
      </c>
      <c r="I7" s="9">
        <f t="shared" si="3"/>
        <v>811062070.1</v>
      </c>
      <c r="J7" s="12">
        <f t="shared" ref="J7:J30" si="14">G7/G6-1</f>
        <v>0.08</v>
      </c>
      <c r="K7" s="1"/>
      <c r="L7" s="10" t="s">
        <v>18</v>
      </c>
      <c r="M7" s="9">
        <f t="shared" ref="M7:M10" si="15">P6</f>
        <v>1021704622</v>
      </c>
      <c r="N7" s="9">
        <f t="shared" si="4"/>
        <v>413758152.3</v>
      </c>
      <c r="O7" s="9">
        <f t="shared" si="5"/>
        <v>607946470.2</v>
      </c>
      <c r="P7" s="11">
        <f t="shared" si="6"/>
        <v>1501219288</v>
      </c>
      <c r="Q7" s="12">
        <f>P$7/$I$15-1</f>
        <v>0</v>
      </c>
      <c r="R7" s="1"/>
      <c r="S7" s="10" t="s">
        <v>18</v>
      </c>
      <c r="T7" s="9">
        <f t="shared" ref="T7:T10" si="16">Y6</f>
        <v>1021704622</v>
      </c>
      <c r="U7" s="9">
        <f t="shared" si="7"/>
        <v>413758152.3</v>
      </c>
      <c r="V7" s="9">
        <f t="shared" si="8"/>
        <v>607946470.2</v>
      </c>
      <c r="W7" s="11">
        <f t="shared" si="9"/>
        <v>2394492106</v>
      </c>
      <c r="X7" s="12">
        <f>W$7/$I$15-1</f>
        <v>0.5950315353</v>
      </c>
      <c r="Y7" s="9">
        <f t="shared" si="10"/>
        <v>1501219288</v>
      </c>
      <c r="Z7" s="9">
        <f t="shared" si="11"/>
        <v>446636408.9</v>
      </c>
      <c r="AA7" s="9">
        <f t="shared" si="12"/>
        <v>446636408.9</v>
      </c>
      <c r="AB7" s="1"/>
    </row>
    <row r="8" ht="14.25" customHeight="1">
      <c r="A8" s="1"/>
      <c r="B8" s="3" t="s">
        <v>19</v>
      </c>
      <c r="C8" s="1"/>
      <c r="D8" s="1"/>
      <c r="E8" s="1">
        <v>3.0</v>
      </c>
      <c r="F8" s="9">
        <f t="shared" si="13"/>
        <v>811062070.1</v>
      </c>
      <c r="G8" s="9">
        <f t="shared" si="1"/>
        <v>55987200</v>
      </c>
      <c r="H8" s="9">
        <f t="shared" si="2"/>
        <v>755074870.1</v>
      </c>
      <c r="I8" s="9">
        <f t="shared" si="3"/>
        <v>875947035.7</v>
      </c>
      <c r="J8" s="12">
        <f t="shared" si="14"/>
        <v>0.08</v>
      </c>
      <c r="K8" s="1"/>
      <c r="L8" s="10" t="s">
        <v>20</v>
      </c>
      <c r="M8" s="9">
        <f t="shared" si="15"/>
        <v>1501219288</v>
      </c>
      <c r="N8" s="9">
        <f t="shared" si="4"/>
        <v>607946470.2</v>
      </c>
      <c r="O8" s="9">
        <f t="shared" si="5"/>
        <v>893272817.8</v>
      </c>
      <c r="P8" s="11">
        <f t="shared" si="6"/>
        <v>2205783649</v>
      </c>
      <c r="Q8" s="12">
        <f>P$8/$I$20-1</f>
        <v>0</v>
      </c>
      <c r="R8" s="1"/>
      <c r="S8" s="10" t="s">
        <v>20</v>
      </c>
      <c r="T8" s="9">
        <f t="shared" si="16"/>
        <v>1501219288</v>
      </c>
      <c r="U8" s="9">
        <f t="shared" si="7"/>
        <v>607946470.2</v>
      </c>
      <c r="V8" s="9">
        <f t="shared" si="8"/>
        <v>893272817.8</v>
      </c>
      <c r="W8" s="11">
        <f t="shared" si="9"/>
        <v>3518294481</v>
      </c>
      <c r="X8" s="12">
        <f>W$8/$I$20-1</f>
        <v>0.5950315353</v>
      </c>
      <c r="Y8" s="9">
        <f t="shared" si="10"/>
        <v>2205783649</v>
      </c>
      <c r="Z8" s="9">
        <f t="shared" si="11"/>
        <v>656255415.7</v>
      </c>
      <c r="AA8" s="9">
        <f t="shared" si="12"/>
        <v>656255415.7</v>
      </c>
      <c r="AB8" s="1"/>
    </row>
    <row r="9" ht="14.25" customHeight="1">
      <c r="A9" s="1"/>
      <c r="B9" s="3" t="s">
        <v>21</v>
      </c>
      <c r="C9" s="4">
        <f>IF(OR(C7="", C8=""), C4*12*((1+C5)^C6-1)/C5, C4*(1+C5)^(C8-(YEAR(TODAY())-C7))*12*((1+C5)^C6-1)/C5)</f>
        <v>695354998.4</v>
      </c>
      <c r="D9" s="1"/>
      <c r="E9" s="1">
        <v>4.0</v>
      </c>
      <c r="F9" s="9">
        <f t="shared" si="13"/>
        <v>875947035.7</v>
      </c>
      <c r="G9" s="9">
        <f t="shared" si="1"/>
        <v>60466176</v>
      </c>
      <c r="H9" s="9">
        <f t="shared" si="2"/>
        <v>815480859.7</v>
      </c>
      <c r="I9" s="9">
        <f t="shared" si="3"/>
        <v>946022798.6</v>
      </c>
      <c r="J9" s="12">
        <f t="shared" si="14"/>
        <v>0.08</v>
      </c>
      <c r="K9" s="1"/>
      <c r="L9" s="13" t="s">
        <v>22</v>
      </c>
      <c r="M9" s="9">
        <f t="shared" si="15"/>
        <v>2205783649</v>
      </c>
      <c r="N9" s="9">
        <f t="shared" si="4"/>
        <v>893272817.8</v>
      </c>
      <c r="O9" s="9">
        <f t="shared" si="5"/>
        <v>1312510831</v>
      </c>
      <c r="P9" s="11">
        <f t="shared" si="6"/>
        <v>3241019847</v>
      </c>
      <c r="Q9" s="12">
        <f>P$9/$I$25-1</f>
        <v>0</v>
      </c>
      <c r="R9" s="1"/>
      <c r="S9" s="13" t="s">
        <v>22</v>
      </c>
      <c r="T9" s="9">
        <f t="shared" si="16"/>
        <v>2205783649</v>
      </c>
      <c r="U9" s="9">
        <f t="shared" si="7"/>
        <v>893272817.8</v>
      </c>
      <c r="V9" s="9">
        <f t="shared" si="8"/>
        <v>1312510831</v>
      </c>
      <c r="W9" s="11">
        <f t="shared" si="9"/>
        <v>5169528863</v>
      </c>
      <c r="X9" s="12">
        <f>W$9/$I$25-1</f>
        <v>0.5950315353</v>
      </c>
      <c r="Y9" s="9">
        <f t="shared" si="10"/>
        <v>3241019847</v>
      </c>
      <c r="Z9" s="9">
        <f t="shared" si="11"/>
        <v>964254507.9</v>
      </c>
      <c r="AA9" s="9">
        <f t="shared" si="12"/>
        <v>964254507.9</v>
      </c>
      <c r="AB9" s="1"/>
    </row>
    <row r="10" ht="14.25" customHeight="1">
      <c r="A10" s="1"/>
      <c r="B10" s="1"/>
      <c r="C10" s="1"/>
      <c r="D10" s="1"/>
      <c r="E10" s="1">
        <v>5.0</v>
      </c>
      <c r="F10" s="9">
        <f t="shared" si="13"/>
        <v>946022798.6</v>
      </c>
      <c r="G10" s="9">
        <f t="shared" si="1"/>
        <v>65303470.08</v>
      </c>
      <c r="H10" s="9">
        <f t="shared" si="2"/>
        <v>880719328.5</v>
      </c>
      <c r="I10" s="11">
        <f t="shared" si="3"/>
        <v>1021704622</v>
      </c>
      <c r="J10" s="12">
        <f t="shared" si="14"/>
        <v>0.08</v>
      </c>
      <c r="K10" s="1"/>
      <c r="L10" s="13" t="s">
        <v>23</v>
      </c>
      <c r="M10" s="9">
        <f t="shared" si="15"/>
        <v>3241019847</v>
      </c>
      <c r="N10" s="9">
        <f t="shared" si="4"/>
        <v>1312510831</v>
      </c>
      <c r="O10" s="9">
        <f t="shared" si="5"/>
        <v>1928509016</v>
      </c>
      <c r="P10" s="11">
        <f t="shared" si="6"/>
        <v>4762121459</v>
      </c>
      <c r="Q10" s="12">
        <f>P$10/$I$30-1</f>
        <v>0</v>
      </c>
      <c r="R10" s="1"/>
      <c r="S10" s="13" t="s">
        <v>23</v>
      </c>
      <c r="T10" s="9">
        <f t="shared" si="16"/>
        <v>3241019847</v>
      </c>
      <c r="U10" s="9">
        <f t="shared" si="7"/>
        <v>1312510831</v>
      </c>
      <c r="V10" s="9">
        <f t="shared" si="8"/>
        <v>1928509016</v>
      </c>
      <c r="W10" s="11">
        <f t="shared" si="9"/>
        <v>7595733902</v>
      </c>
      <c r="X10" s="12">
        <f>W$10/$I$30-1</f>
        <v>0.5950315353</v>
      </c>
      <c r="Y10" s="9">
        <f t="shared" si="10"/>
        <v>4762121459</v>
      </c>
      <c r="Z10" s="9">
        <f t="shared" si="11"/>
        <v>1416806222</v>
      </c>
      <c r="AA10" s="9">
        <f t="shared" si="12"/>
        <v>1416806222</v>
      </c>
      <c r="AB10" s="1"/>
    </row>
    <row r="11" ht="14.25" customHeight="1">
      <c r="A11" s="1"/>
      <c r="B11" s="3" t="s">
        <v>24</v>
      </c>
      <c r="C11" s="3" t="s">
        <v>25</v>
      </c>
      <c r="D11" s="1"/>
      <c r="E11" s="1">
        <v>6.0</v>
      </c>
      <c r="F11" s="9">
        <f t="shared" si="13"/>
        <v>1021704622</v>
      </c>
      <c r="G11" s="9">
        <f t="shared" si="1"/>
        <v>70527747.69</v>
      </c>
      <c r="H11" s="9">
        <f t="shared" si="2"/>
        <v>951176874.8</v>
      </c>
      <c r="I11" s="9">
        <f t="shared" si="3"/>
        <v>1103440992</v>
      </c>
      <c r="J11" s="12">
        <f t="shared" si="14"/>
        <v>0.08</v>
      </c>
      <c r="K11" s="1"/>
      <c r="L11" s="14"/>
      <c r="M11" s="14"/>
      <c r="N11" s="14"/>
      <c r="O11" s="14"/>
      <c r="P11" s="14"/>
      <c r="Q11" s="1"/>
      <c r="R11" s="1"/>
      <c r="S11" s="14"/>
      <c r="T11" s="14"/>
      <c r="U11" s="14"/>
      <c r="V11" s="14"/>
      <c r="W11" s="14"/>
      <c r="X11" s="1"/>
      <c r="Y11" s="1"/>
      <c r="Z11" s="1"/>
      <c r="AA11" s="1"/>
      <c r="AB11" s="1"/>
    </row>
    <row r="12" ht="14.25" customHeight="1">
      <c r="A12" s="1"/>
      <c r="B12" s="1"/>
      <c r="C12" s="1"/>
      <c r="D12" s="1"/>
      <c r="E12" s="1">
        <v>7.0</v>
      </c>
      <c r="F12" s="9">
        <f t="shared" si="13"/>
        <v>1103440992</v>
      </c>
      <c r="G12" s="9">
        <f t="shared" si="1"/>
        <v>76169967.5</v>
      </c>
      <c r="H12" s="9">
        <f t="shared" si="2"/>
        <v>1027271025</v>
      </c>
      <c r="I12" s="9">
        <f t="shared" si="3"/>
        <v>1191716272</v>
      </c>
      <c r="J12" s="12">
        <f t="shared" si="14"/>
        <v>0.08</v>
      </c>
      <c r="K12" s="14"/>
      <c r="L12" s="3" t="s">
        <v>26</v>
      </c>
      <c r="M12" s="14"/>
      <c r="N12" s="3" t="s">
        <v>27</v>
      </c>
      <c r="O12" s="14"/>
      <c r="P12" s="14"/>
      <c r="Q12" s="14"/>
      <c r="R12" s="1"/>
      <c r="S12" s="3" t="s">
        <v>26</v>
      </c>
      <c r="T12" s="14"/>
      <c r="U12" s="3" t="s">
        <v>27</v>
      </c>
      <c r="V12" s="14"/>
      <c r="W12" s="14"/>
      <c r="X12" s="14"/>
      <c r="Y12" s="14"/>
      <c r="Z12" s="14"/>
      <c r="AA12" s="14"/>
      <c r="AB12" s="1"/>
    </row>
    <row r="13" ht="14.25" customHeight="1">
      <c r="A13" s="1"/>
      <c r="B13" s="14"/>
      <c r="C13" s="1"/>
      <c r="D13" s="1"/>
      <c r="E13" s="1">
        <v>8.0</v>
      </c>
      <c r="F13" s="9">
        <f t="shared" si="13"/>
        <v>1191716272</v>
      </c>
      <c r="G13" s="9">
        <f t="shared" si="1"/>
        <v>82263564.9</v>
      </c>
      <c r="H13" s="9">
        <f t="shared" si="2"/>
        <v>1109452707</v>
      </c>
      <c r="I13" s="9">
        <f t="shared" si="3"/>
        <v>1287053573</v>
      </c>
      <c r="J13" s="12">
        <f t="shared" si="14"/>
        <v>0.08</v>
      </c>
      <c r="K13" s="14"/>
      <c r="L13" s="14"/>
      <c r="M13" s="1"/>
      <c r="N13" s="1"/>
      <c r="O13" s="14"/>
      <c r="P13" s="14"/>
      <c r="Q13" s="14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4.25" customHeight="1">
      <c r="A14" s="1"/>
      <c r="B14" s="14"/>
      <c r="C14" s="1"/>
      <c r="D14" s="1"/>
      <c r="E14" s="1">
        <v>9.0</v>
      </c>
      <c r="F14" s="9">
        <f t="shared" si="13"/>
        <v>1287053573</v>
      </c>
      <c r="G14" s="9">
        <f t="shared" si="1"/>
        <v>88844650.09</v>
      </c>
      <c r="H14" s="9">
        <f t="shared" si="2"/>
        <v>1198208923</v>
      </c>
      <c r="I14" s="9">
        <f t="shared" si="3"/>
        <v>1390017859</v>
      </c>
      <c r="J14" s="12">
        <f t="shared" si="14"/>
        <v>0.08</v>
      </c>
      <c r="K14" s="14"/>
      <c r="L14" s="14"/>
      <c r="M14" s="14"/>
      <c r="N14" s="1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4.25" customHeight="1">
      <c r="A15" s="1"/>
      <c r="B15" s="14"/>
      <c r="C15" s="1"/>
      <c r="D15" s="1"/>
      <c r="E15" s="1">
        <v>10.0</v>
      </c>
      <c r="F15" s="9">
        <f t="shared" si="13"/>
        <v>1390017859</v>
      </c>
      <c r="G15" s="9">
        <f t="shared" si="1"/>
        <v>95952222.1</v>
      </c>
      <c r="H15" s="9">
        <f t="shared" si="2"/>
        <v>1294065637</v>
      </c>
      <c r="I15" s="11">
        <f t="shared" si="3"/>
        <v>1501219288</v>
      </c>
      <c r="J15" s="12">
        <f t="shared" si="14"/>
        <v>0.08</v>
      </c>
      <c r="K15" s="14"/>
      <c r="L15" s="14"/>
      <c r="M15" s="14"/>
      <c r="N15" s="1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4.25" customHeight="1">
      <c r="A16" s="1"/>
      <c r="B16" s="14"/>
      <c r="C16" s="1"/>
      <c r="D16" s="1"/>
      <c r="E16" s="1">
        <v>11.0</v>
      </c>
      <c r="F16" s="9">
        <f t="shared" si="13"/>
        <v>1501219288</v>
      </c>
      <c r="G16" s="9">
        <f t="shared" si="1"/>
        <v>103628399.9</v>
      </c>
      <c r="H16" s="9">
        <f t="shared" si="2"/>
        <v>1397590888</v>
      </c>
      <c r="I16" s="9">
        <f t="shared" si="3"/>
        <v>1621316831</v>
      </c>
      <c r="J16" s="12">
        <f t="shared" si="14"/>
        <v>0.08</v>
      </c>
      <c r="K16" s="14"/>
      <c r="L16" s="14"/>
      <c r="M16" s="14"/>
      <c r="N16" s="1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4.25" customHeight="1">
      <c r="A17" s="1"/>
      <c r="B17" s="14"/>
      <c r="C17" s="1"/>
      <c r="D17" s="1"/>
      <c r="E17" s="1">
        <v>12.0</v>
      </c>
      <c r="F17" s="9">
        <f t="shared" si="13"/>
        <v>1621316831</v>
      </c>
      <c r="G17" s="9">
        <f t="shared" si="1"/>
        <v>111918671.9</v>
      </c>
      <c r="H17" s="9">
        <f t="shared" si="2"/>
        <v>1509398159</v>
      </c>
      <c r="I17" s="9">
        <f t="shared" si="3"/>
        <v>1751022177</v>
      </c>
      <c r="J17" s="12">
        <f t="shared" si="14"/>
        <v>0.08</v>
      </c>
      <c r="K17" s="14"/>
      <c r="L17" s="14"/>
      <c r="M17" s="14"/>
      <c r="N17" s="1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4.25" customHeight="1">
      <c r="A18" s="1"/>
      <c r="B18" s="14"/>
      <c r="C18" s="1"/>
      <c r="D18" s="1"/>
      <c r="E18" s="1">
        <v>13.0</v>
      </c>
      <c r="F18" s="9">
        <f t="shared" si="13"/>
        <v>1751022177</v>
      </c>
      <c r="G18" s="9">
        <f t="shared" si="1"/>
        <v>120872165.6</v>
      </c>
      <c r="H18" s="9">
        <f t="shared" si="2"/>
        <v>1630150012</v>
      </c>
      <c r="I18" s="9">
        <f t="shared" si="3"/>
        <v>1891103952</v>
      </c>
      <c r="J18" s="12">
        <f t="shared" si="14"/>
        <v>0.08</v>
      </c>
      <c r="K18" s="14"/>
      <c r="L18" s="14"/>
      <c r="M18" s="14"/>
      <c r="N18" s="1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4.25" customHeight="1">
      <c r="A19" s="1"/>
      <c r="B19" s="14"/>
      <c r="C19" s="1"/>
      <c r="D19" s="1"/>
      <c r="E19" s="1">
        <v>14.0</v>
      </c>
      <c r="F19" s="9">
        <f t="shared" si="13"/>
        <v>1891103952</v>
      </c>
      <c r="G19" s="9">
        <f t="shared" si="1"/>
        <v>130541938.9</v>
      </c>
      <c r="H19" s="9">
        <f t="shared" si="2"/>
        <v>1760562013</v>
      </c>
      <c r="I19" s="9">
        <f t="shared" si="3"/>
        <v>2042392268</v>
      </c>
      <c r="J19" s="12">
        <f t="shared" si="14"/>
        <v>0.08</v>
      </c>
      <c r="K19" s="14"/>
      <c r="L19" s="14"/>
      <c r="M19" s="14"/>
      <c r="N19" s="1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4.25" customHeight="1">
      <c r="A20" s="1"/>
      <c r="B20" s="14"/>
      <c r="C20" s="1"/>
      <c r="D20" s="1"/>
      <c r="E20" s="1">
        <v>15.0</v>
      </c>
      <c r="F20" s="9">
        <f t="shared" si="13"/>
        <v>2042392268</v>
      </c>
      <c r="G20" s="9">
        <f t="shared" si="1"/>
        <v>140985294</v>
      </c>
      <c r="H20" s="9">
        <f t="shared" si="2"/>
        <v>1901406974</v>
      </c>
      <c r="I20" s="11">
        <f t="shared" si="3"/>
        <v>2205783649</v>
      </c>
      <c r="J20" s="12">
        <f t="shared" si="14"/>
        <v>0.08</v>
      </c>
      <c r="K20" s="14"/>
      <c r="L20" s="14"/>
      <c r="M20" s="14"/>
      <c r="N20" s="1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4.25" customHeight="1">
      <c r="A21" s="1"/>
      <c r="B21" s="14"/>
      <c r="C21" s="1"/>
      <c r="D21" s="1"/>
      <c r="E21" s="1">
        <v>16.0</v>
      </c>
      <c r="F21" s="9">
        <f t="shared" si="13"/>
        <v>2205783649</v>
      </c>
      <c r="G21" s="9">
        <f t="shared" si="1"/>
        <v>152264117.5</v>
      </c>
      <c r="H21" s="9">
        <f t="shared" si="2"/>
        <v>2053519532</v>
      </c>
      <c r="I21" s="9">
        <f t="shared" si="3"/>
        <v>2382246341</v>
      </c>
      <c r="J21" s="12">
        <f t="shared" si="14"/>
        <v>0.08</v>
      </c>
      <c r="K21" s="14"/>
      <c r="L21" s="14"/>
      <c r="M21" s="14"/>
      <c r="N21" s="1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4.25" customHeight="1">
      <c r="A22" s="1"/>
      <c r="B22" s="14"/>
      <c r="C22" s="1"/>
      <c r="D22" s="15"/>
      <c r="E22" s="1">
        <v>17.0</v>
      </c>
      <c r="F22" s="9">
        <f t="shared" si="13"/>
        <v>2382246341</v>
      </c>
      <c r="G22" s="9">
        <f t="shared" si="1"/>
        <v>164445246.9</v>
      </c>
      <c r="H22" s="9">
        <f t="shared" si="2"/>
        <v>2217801094</v>
      </c>
      <c r="I22" s="9">
        <f t="shared" si="3"/>
        <v>2572826048</v>
      </c>
      <c r="J22" s="12">
        <f t="shared" si="14"/>
        <v>0.08</v>
      </c>
      <c r="K22" s="14"/>
      <c r="L22" s="14"/>
      <c r="M22" s="14"/>
      <c r="N22" s="1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4.25" customHeight="1">
      <c r="A23" s="1"/>
      <c r="B23" s="14"/>
      <c r="C23" s="1"/>
      <c r="D23" s="15"/>
      <c r="E23" s="1">
        <v>18.0</v>
      </c>
      <c r="F23" s="9">
        <f t="shared" si="13"/>
        <v>2572826048</v>
      </c>
      <c r="G23" s="9">
        <f t="shared" si="1"/>
        <v>177600866.6</v>
      </c>
      <c r="H23" s="9">
        <f t="shared" si="2"/>
        <v>2395225182</v>
      </c>
      <c r="I23" s="9">
        <f t="shared" si="3"/>
        <v>2778652132</v>
      </c>
      <c r="J23" s="12">
        <f t="shared" si="14"/>
        <v>0.08</v>
      </c>
      <c r="K23" s="14"/>
      <c r="L23" s="14"/>
      <c r="M23" s="14"/>
      <c r="N23" s="1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4.25" customHeight="1">
      <c r="A24" s="1"/>
      <c r="B24" s="14"/>
      <c r="C24" s="1"/>
      <c r="D24" s="15"/>
      <c r="E24" s="1">
        <v>19.0</v>
      </c>
      <c r="F24" s="9">
        <f t="shared" si="13"/>
        <v>2778652132</v>
      </c>
      <c r="G24" s="9">
        <f t="shared" si="1"/>
        <v>191808936</v>
      </c>
      <c r="H24" s="9">
        <f t="shared" si="2"/>
        <v>2586843196</v>
      </c>
      <c r="I24" s="9">
        <f t="shared" si="3"/>
        <v>3000944303</v>
      </c>
      <c r="J24" s="12">
        <f t="shared" si="14"/>
        <v>0.08</v>
      </c>
      <c r="K24" s="14"/>
      <c r="L24" s="14"/>
      <c r="M24" s="14"/>
      <c r="N24" s="1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4.25" customHeight="1">
      <c r="A25" s="1"/>
      <c r="B25" s="14"/>
      <c r="C25" s="1"/>
      <c r="D25" s="15"/>
      <c r="E25" s="1">
        <v>20.0</v>
      </c>
      <c r="F25" s="9">
        <f t="shared" si="13"/>
        <v>3000944303</v>
      </c>
      <c r="G25" s="9">
        <f t="shared" si="1"/>
        <v>207153650.8</v>
      </c>
      <c r="H25" s="9">
        <f t="shared" si="2"/>
        <v>2793790652</v>
      </c>
      <c r="I25" s="11">
        <f t="shared" si="3"/>
        <v>3241019847</v>
      </c>
      <c r="J25" s="12">
        <f t="shared" si="14"/>
        <v>0.08</v>
      </c>
      <c r="K25" s="14"/>
      <c r="L25" s="14"/>
      <c r="M25" s="14"/>
      <c r="N25" s="1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4.25" customHeight="1">
      <c r="A26" s="1"/>
      <c r="B26" s="14"/>
      <c r="C26" s="1"/>
      <c r="D26" s="15"/>
      <c r="E26" s="1">
        <v>21.0</v>
      </c>
      <c r="F26" s="9">
        <f t="shared" si="13"/>
        <v>3241019847</v>
      </c>
      <c r="G26" s="9">
        <f t="shared" si="1"/>
        <v>223725942.9</v>
      </c>
      <c r="H26" s="9">
        <f t="shared" si="2"/>
        <v>3017293904</v>
      </c>
      <c r="I26" s="9">
        <f t="shared" si="3"/>
        <v>3500301435</v>
      </c>
      <c r="J26" s="12">
        <f t="shared" si="14"/>
        <v>0.08</v>
      </c>
      <c r="K26" s="14"/>
      <c r="L26" s="14"/>
      <c r="M26" s="14"/>
      <c r="N26" s="1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4.25" customHeight="1">
      <c r="A27" s="1"/>
      <c r="B27" s="14"/>
      <c r="C27" s="1"/>
      <c r="D27" s="1"/>
      <c r="E27" s="1">
        <v>22.0</v>
      </c>
      <c r="F27" s="9">
        <f t="shared" si="13"/>
        <v>3500301435</v>
      </c>
      <c r="G27" s="9">
        <f t="shared" si="1"/>
        <v>241624018.3</v>
      </c>
      <c r="H27" s="9">
        <f t="shared" si="2"/>
        <v>3258677417</v>
      </c>
      <c r="I27" s="9">
        <f t="shared" si="3"/>
        <v>3780325550</v>
      </c>
      <c r="J27" s="12">
        <f t="shared" si="14"/>
        <v>0.08</v>
      </c>
      <c r="K27" s="14"/>
      <c r="L27" s="14"/>
      <c r="M27" s="14"/>
      <c r="N27" s="1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4.25" customHeight="1">
      <c r="A28" s="1"/>
      <c r="B28" s="14"/>
      <c r="C28" s="1"/>
      <c r="D28" s="1"/>
      <c r="E28" s="1">
        <v>23.0</v>
      </c>
      <c r="F28" s="9">
        <f t="shared" si="13"/>
        <v>3780325550</v>
      </c>
      <c r="G28" s="9">
        <f t="shared" si="1"/>
        <v>260953939.8</v>
      </c>
      <c r="H28" s="9">
        <f t="shared" si="2"/>
        <v>3519371610</v>
      </c>
      <c r="I28" s="9">
        <f t="shared" si="3"/>
        <v>4082751594</v>
      </c>
      <c r="J28" s="12">
        <f t="shared" si="14"/>
        <v>0.08</v>
      </c>
      <c r="K28" s="14"/>
      <c r="L28" s="14"/>
      <c r="M28" s="14"/>
      <c r="N28" s="1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4.25" customHeight="1">
      <c r="A29" s="1"/>
      <c r="B29" s="14"/>
      <c r="C29" s="1"/>
      <c r="D29" s="1"/>
      <c r="E29" s="1">
        <v>24.0</v>
      </c>
      <c r="F29" s="9">
        <f t="shared" si="13"/>
        <v>4082751594</v>
      </c>
      <c r="G29" s="9">
        <f t="shared" si="1"/>
        <v>281830255</v>
      </c>
      <c r="H29" s="9">
        <f t="shared" si="2"/>
        <v>3800921339</v>
      </c>
      <c r="I29" s="9">
        <f t="shared" si="3"/>
        <v>4409371721</v>
      </c>
      <c r="J29" s="12">
        <f t="shared" si="14"/>
        <v>0.08</v>
      </c>
      <c r="K29" s="14"/>
      <c r="L29" s="14"/>
      <c r="M29" s="14"/>
      <c r="N29" s="1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4.25" customHeight="1">
      <c r="A30" s="1"/>
      <c r="B30" s="14"/>
      <c r="C30" s="1"/>
      <c r="D30" s="1"/>
      <c r="E30" s="1">
        <v>25.0</v>
      </c>
      <c r="F30" s="9">
        <f t="shared" si="13"/>
        <v>4409371721</v>
      </c>
      <c r="G30" s="9">
        <f t="shared" si="1"/>
        <v>304376675.4</v>
      </c>
      <c r="H30" s="9">
        <f t="shared" si="2"/>
        <v>4104995046</v>
      </c>
      <c r="I30" s="11">
        <f t="shared" si="3"/>
        <v>4762121459</v>
      </c>
      <c r="J30" s="12">
        <f t="shared" si="14"/>
        <v>0.08</v>
      </c>
      <c r="K30" s="14"/>
      <c r="L30" s="14"/>
      <c r="M30" s="14"/>
      <c r="N30" s="14"/>
      <c r="O30" s="14"/>
      <c r="P30" s="14"/>
      <c r="Q30" s="14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4.25" customHeight="1">
      <c r="A31" s="1"/>
      <c r="B31" s="14"/>
      <c r="C31" s="1"/>
      <c r="D31" s="1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4.25" customHeight="1">
      <c r="A32" s="1"/>
      <c r="B32" s="14"/>
      <c r="C32" s="1"/>
      <c r="D32" s="1"/>
      <c r="E32" s="3" t="s">
        <v>28</v>
      </c>
      <c r="F32" s="1"/>
      <c r="G32" s="3" t="s">
        <v>29</v>
      </c>
      <c r="H32" s="14"/>
      <c r="I32" s="14"/>
      <c r="J32" s="14"/>
      <c r="K32" s="14"/>
      <c r="L32" s="14"/>
      <c r="M32" s="14"/>
      <c r="N32" s="1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4.25" customHeight="1">
      <c r="A33" s="1"/>
      <c r="B33" s="14"/>
      <c r="C33" s="1"/>
      <c r="D33" s="1"/>
      <c r="E33" s="3" t="s">
        <v>26</v>
      </c>
      <c r="F33" s="1"/>
      <c r="G33" s="3" t="s">
        <v>30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4.25" customHeight="1">
      <c r="A34" s="1"/>
      <c r="B34" s="14"/>
      <c r="C34" s="1"/>
      <c r="D34" s="1"/>
      <c r="E34" s="14"/>
      <c r="F34" s="1"/>
      <c r="G34" s="1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</sheetData>
  <mergeCells count="13">
    <mergeCell ref="Q4:Q5"/>
    <mergeCell ref="S4:S5"/>
    <mergeCell ref="T4:T5"/>
    <mergeCell ref="V4:V5"/>
    <mergeCell ref="X4:X5"/>
    <mergeCell ref="Y4:AA4"/>
    <mergeCell ref="E4:E5"/>
    <mergeCell ref="F4:F5"/>
    <mergeCell ref="H4:H5"/>
    <mergeCell ref="J4:J5"/>
    <mergeCell ref="L4:L5"/>
    <mergeCell ref="M4:M5"/>
    <mergeCell ref="O4:O5"/>
  </mergeCells>
  <printOptions/>
  <pageMargins bottom="0.75" footer="0.0" header="0.0" left="0.7" right="0.7" top="0.75"/>
  <pageSetup orientation="portrait"/>
  <colBreaks count="1" manualBreakCount="1">
    <brk id="28" man="1"/>
  </colBreaks>
  <drawing r:id="rId1"/>
</worksheet>
</file>